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0.0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165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right" vertical="center"/>
    </xf>
    <xf numFmtId="166" fontId="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IDR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4" t="inlineStr">
        <is>
          <t>Spot Rate (IDR) ---- Spot rate of t=3 means the interest rate is effective from t=0 to t=3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6" t="inlineStr">
        <is>
          <t>Time Period</t>
        </is>
      </c>
      <c r="B5" s="7" t="n">
        <v>45656</v>
      </c>
      <c r="C5" s="7" t="n">
        <v>46022</v>
      </c>
      <c r="D5" s="7" t="n">
        <v>46052</v>
      </c>
      <c r="E5" s="7" t="n">
        <v>46080</v>
      </c>
      <c r="F5" s="7" t="n">
        <v>46112</v>
      </c>
      <c r="G5" s="7" t="n">
        <v>46142</v>
      </c>
      <c r="H5" s="7" t="n">
        <v>46171</v>
      </c>
      <c r="I5" s="7" t="n">
        <v>46203</v>
      </c>
      <c r="J5" s="7" t="n">
        <v>46234</v>
      </c>
    </row>
    <row r="6">
      <c r="A6" s="6" t="inlineStr">
        <is>
          <t>Rate Type</t>
        </is>
      </c>
      <c r="B6" s="8" t="inlineStr">
        <is>
          <t>Spot</t>
        </is>
      </c>
      <c r="C6" s="8" t="inlineStr">
        <is>
          <t>Spot</t>
        </is>
      </c>
      <c r="D6" s="8" t="inlineStr">
        <is>
          <t>Spot</t>
        </is>
      </c>
      <c r="E6" s="8" t="inlineStr">
        <is>
          <t>Spot</t>
        </is>
      </c>
      <c r="F6" s="8" t="inlineStr">
        <is>
          <t>Spot</t>
        </is>
      </c>
      <c r="G6" s="8" t="inlineStr">
        <is>
          <t>Spot</t>
        </is>
      </c>
      <c r="H6" s="8" t="inlineStr">
        <is>
          <t>Spot</t>
        </is>
      </c>
      <c r="I6" s="8" t="inlineStr">
        <is>
          <t>Spot</t>
        </is>
      </c>
      <c r="J6" s="8" t="inlineStr">
        <is>
          <t>Spot</t>
        </is>
      </c>
    </row>
    <row r="7">
      <c r="A7" s="6" t="inlineStr">
        <is>
          <t>Tenor Year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3" t="n">
        <v>0.1</v>
      </c>
      <c r="B8" s="9" t="n">
        <v>0.06716</v>
      </c>
      <c r="C8" s="9" t="n">
        <v>0.044836</v>
      </c>
      <c r="D8" s="9" t="n">
        <v>0.044825</v>
      </c>
      <c r="E8" s="9" t="n">
        <v>0.04647</v>
      </c>
      <c r="F8" s="9" t="n">
        <v>0.055527</v>
      </c>
      <c r="G8" s="9" t="n">
        <v>0.049401</v>
      </c>
      <c r="H8" s="9" t="n">
        <v>0.055842</v>
      </c>
      <c r="I8" s="9" t="n">
        <v>0.06956</v>
      </c>
      <c r="J8" s="9" t="n">
        <v>0.067942</v>
      </c>
    </row>
    <row r="9">
      <c r="A9" s="3" t="n">
        <v>1</v>
      </c>
      <c r="B9" s="9" t="n">
        <v>0.06879</v>
      </c>
      <c r="C9" s="9" t="n">
        <v>0.048119</v>
      </c>
      <c r="D9" s="9" t="n">
        <v>0.048237</v>
      </c>
      <c r="E9" s="9" t="n">
        <v>0.049255</v>
      </c>
      <c r="F9" s="9" t="n">
        <v>0.058731</v>
      </c>
      <c r="G9" s="9" t="n">
        <v>0.060675</v>
      </c>
      <c r="H9" s="9" t="n">
        <v>0.06618499999999999</v>
      </c>
      <c r="I9" s="9" t="n">
        <v>0.071715</v>
      </c>
      <c r="J9" s="9" t="n">
        <v>0.069117</v>
      </c>
    </row>
    <row r="10">
      <c r="A10" s="3" t="n">
        <v>2</v>
      </c>
      <c r="B10" s="9" t="n">
        <v>0.06951951398911671</v>
      </c>
      <c r="C10" s="9" t="n">
        <v>0.05107675645908039</v>
      </c>
      <c r="D10" s="9" t="n">
        <v>0.05148257131937406</v>
      </c>
      <c r="E10" s="9" t="n">
        <v>0.052011969764997</v>
      </c>
      <c r="F10" s="9" t="n">
        <v>0.06150279861470676</v>
      </c>
      <c r="G10" s="9" t="n">
        <v>0.06295567223986143</v>
      </c>
      <c r="H10" s="9" t="n">
        <v>0.06648877524213481</v>
      </c>
      <c r="I10" s="9" t="n">
        <v>0.07171810757731745</v>
      </c>
      <c r="J10" s="9" t="n">
        <v>0.07026187561013186</v>
      </c>
    </row>
    <row r="11">
      <c r="A11" s="3" t="n">
        <v>3</v>
      </c>
      <c r="B11" s="9" t="n">
        <v>0.06980391748262149</v>
      </c>
      <c r="C11" s="9" t="n">
        <v>0.05350848808948072</v>
      </c>
      <c r="D11" s="9" t="n">
        <v>0.0542730047297828</v>
      </c>
      <c r="E11" s="9" t="n">
        <v>0.05447989424814814</v>
      </c>
      <c r="F11" s="9" t="n">
        <v>0.0636510254884779</v>
      </c>
      <c r="G11" s="9" t="n">
        <v>0.06429868409646544</v>
      </c>
      <c r="H11" s="9" t="n">
        <v>0.06621750285777162</v>
      </c>
      <c r="I11" s="9" t="n">
        <v>0.071278156859647</v>
      </c>
      <c r="J11" s="9" t="n">
        <v>0.07132560498938467</v>
      </c>
    </row>
    <row r="12">
      <c r="A12" s="3" t="n">
        <v>4</v>
      </c>
      <c r="B12" s="9" t="n">
        <v>0.0699548313505538</v>
      </c>
      <c r="C12" s="9" t="n">
        <v>0.0555302991692872</v>
      </c>
      <c r="D12" s="9" t="n">
        <v>0.05666681749961922</v>
      </c>
      <c r="E12" s="9" t="n">
        <v>0.05668270702095657</v>
      </c>
      <c r="F12" s="9" t="n">
        <v>0.06530845220288062</v>
      </c>
      <c r="G12" s="9" t="n">
        <v>0.06574181344980823</v>
      </c>
      <c r="H12" s="9" t="n">
        <v>0.06664972221314502</v>
      </c>
      <c r="I12" s="9" t="n">
        <v>0.07103446122422463</v>
      </c>
      <c r="J12" s="9" t="n">
        <v>0.0721624470825577</v>
      </c>
    </row>
    <row r="13">
      <c r="A13" s="3" t="n">
        <v>5</v>
      </c>
      <c r="B13" s="9" t="n">
        <v>0.07009013428171484</v>
      </c>
      <c r="C13" s="9" t="n">
        <v>0.05723243554423152</v>
      </c>
      <c r="D13" s="9" t="n">
        <v>0.05871486638769396</v>
      </c>
      <c r="E13" s="9" t="n">
        <v>0.05864161655674804</v>
      </c>
      <c r="F13" s="9" t="n">
        <v>0.06658251330148168</v>
      </c>
      <c r="G13" s="9" t="n">
        <v>0.0669864783796319</v>
      </c>
      <c r="H13" s="9" t="n">
        <v>0.06734592961244568</v>
      </c>
      <c r="I13" s="9" t="n">
        <v>0.07106470366020456</v>
      </c>
      <c r="J13" s="9" t="n">
        <v>0.07273806664115479</v>
      </c>
    </row>
    <row r="14">
      <c r="A14" s="3" t="n">
        <v>6</v>
      </c>
      <c r="B14" s="9" t="n">
        <v>0.07024123921498115</v>
      </c>
      <c r="C14" s="9" t="n">
        <v>0.05868370969609349</v>
      </c>
      <c r="D14" s="9" t="n">
        <v>0.0604599298617261</v>
      </c>
      <c r="E14" s="9" t="n">
        <v>0.06037562915791983</v>
      </c>
      <c r="F14" s="9" t="n">
        <v>0.06755472412056451</v>
      </c>
      <c r="G14" s="9" t="n">
        <v>0.06786946803535487</v>
      </c>
      <c r="H14" s="9" t="n">
        <v>0.06796347996462737</v>
      </c>
      <c r="I14" s="9" t="n">
        <v>0.07128100036000107</v>
      </c>
      <c r="J14" s="9" t="n">
        <v>0.07309390990393561</v>
      </c>
    </row>
    <row r="15">
      <c r="A15" s="3" t="n">
        <v>7</v>
      </c>
      <c r="B15" s="9" t="n">
        <v>0.07040589515581663</v>
      </c>
      <c r="C15" s="9" t="n">
        <v>0.05993689246098177</v>
      </c>
      <c r="D15" s="9" t="n">
        <v>0.06194163801057995</v>
      </c>
      <c r="E15" s="9" t="n">
        <v>0.06190069823174804</v>
      </c>
      <c r="F15" s="9" t="n">
        <v>0.06829010650894962</v>
      </c>
      <c r="G15" s="9" t="n">
        <v>0.06841682940620752</v>
      </c>
      <c r="H15" s="9" t="n">
        <v>0.06839919350290624</v>
      </c>
      <c r="I15" s="9" t="n">
        <v>0.07158092941575389</v>
      </c>
      <c r="J15" s="9" t="n">
        <v>0.07329566589252523</v>
      </c>
    </row>
    <row r="16">
      <c r="A16" s="3" t="n">
        <v>8</v>
      </c>
      <c r="B16" s="9" t="n">
        <v>0.07057300862839111</v>
      </c>
      <c r="C16" s="9" t="n">
        <v>0.06103075682607106</v>
      </c>
      <c r="D16" s="9" t="n">
        <v>0.06319293264830517</v>
      </c>
      <c r="E16" s="9" t="n">
        <v>0.06323234335360506</v>
      </c>
      <c r="F16" s="9" t="n">
        <v>0.06884142180732611</v>
      </c>
      <c r="G16" s="9" t="n">
        <v>0.06871911322312974</v>
      </c>
      <c r="H16" s="9" t="n">
        <v>0.06866558066030493</v>
      </c>
      <c r="I16" s="9" t="n">
        <v>0.07189095646022814</v>
      </c>
      <c r="J16" s="9" t="n">
        <v>0.07340022131115997</v>
      </c>
    </row>
    <row r="17">
      <c r="A17" s="3" t="n">
        <v>9</v>
      </c>
      <c r="B17" s="9" t="n">
        <v>0.07073193621247142</v>
      </c>
      <c r="C17" s="9" t="n">
        <v>0.06199617206330776</v>
      </c>
      <c r="D17" s="9" t="n">
        <v>0.06424348663470192</v>
      </c>
      <c r="E17" s="9" t="n">
        <v>0.06438465111448299</v>
      </c>
      <c r="F17" s="9" t="n">
        <v>0.06924730246288169</v>
      </c>
      <c r="G17" s="9" t="n">
        <v>0.06886810340402483</v>
      </c>
      <c r="H17" s="9" t="n">
        <v>0.06881156662043675</v>
      </c>
      <c r="I17" s="9" t="n">
        <v>0.07217143502482992</v>
      </c>
      <c r="J17" s="9" t="n">
        <v>0.07344749588812349</v>
      </c>
    </row>
    <row r="18">
      <c r="A18" s="3" t="n">
        <v>10</v>
      </c>
      <c r="B18" s="9" t="n">
        <v>0.07087522185260053</v>
      </c>
      <c r="C18" s="9" t="n">
        <v>0.06285912373853764</v>
      </c>
      <c r="D18" s="9" t="n">
        <v>0.06511805516024594</v>
      </c>
      <c r="E18" s="9" t="n">
        <v>0.06537311080245911</v>
      </c>
      <c r="F18" s="9" t="n">
        <v>0.0695439908861375</v>
      </c>
      <c r="G18" s="9" t="n">
        <v>0.06892882963837188</v>
      </c>
      <c r="H18" s="9" t="n">
        <v>0.06888215571263667</v>
      </c>
      <c r="I18" s="9" t="n">
        <v>0.07240193958109065</v>
      </c>
      <c r="J18" s="9" t="n">
        <v>0.07346491470401051</v>
      </c>
    </row>
    <row r="19">
      <c r="A19" s="3" t="n">
        <v>11</v>
      </c>
      <c r="B19" s="9" t="n">
        <v>0.07099611443037013</v>
      </c>
      <c r="C19" s="9" t="n">
        <v>0.06363432471946018</v>
      </c>
      <c r="D19" s="9" t="n">
        <v>0.06584301012486748</v>
      </c>
      <c r="E19" s="9" t="n">
        <v>0.066206371640807</v>
      </c>
      <c r="F19" s="9" t="n">
        <v>0.06975313741107247</v>
      </c>
      <c r="G19" s="9" t="n">
        <v>0.06894283518123179</v>
      </c>
      <c r="H19" s="9" t="n">
        <v>0.0689093951547457</v>
      </c>
      <c r="I19" s="9" t="n">
        <v>0.07257995135342155</v>
      </c>
      <c r="J19" s="9" t="n">
        <v>0.07346545666904625</v>
      </c>
    </row>
    <row r="20">
      <c r="A20" s="3" t="n">
        <v>12</v>
      </c>
      <c r="B20" s="9" t="n">
        <v>0.07109620979229381</v>
      </c>
      <c r="C20" s="9" t="n">
        <v>0.06433827101116685</v>
      </c>
      <c r="D20" s="9" t="n">
        <v>0.06643757489140056</v>
      </c>
      <c r="E20" s="9" t="n">
        <v>0.06690034701619996</v>
      </c>
      <c r="F20" s="9" t="n">
        <v>0.06989763880623956</v>
      </c>
      <c r="G20" s="9" t="n">
        <v>0.06893374882357661</v>
      </c>
      <c r="H20" s="9" t="n">
        <v>0.06891361725667533</v>
      </c>
      <c r="I20" s="9" t="n">
        <v>0.07271153183113577</v>
      </c>
      <c r="J20" s="9" t="n">
        <v>0.07345768143278342</v>
      </c>
    </row>
    <row r="21">
      <c r="A21" s="3" t="n">
        <v>13</v>
      </c>
      <c r="B21" s="9" t="n">
        <v>0.07117723693899047</v>
      </c>
      <c r="C21" s="9" t="n">
        <v>0.0649786889149444</v>
      </c>
      <c r="D21" s="9" t="n">
        <v>0.06692202992524843</v>
      </c>
      <c r="E21" s="9" t="n">
        <v>0.06746372493716657</v>
      </c>
      <c r="F21" s="9" t="n">
        <v>0.06999218661784234</v>
      </c>
      <c r="G21" s="9" t="n">
        <v>0.0689155502904466</v>
      </c>
      <c r="H21" s="9" t="n">
        <v>0.06890801100468602</v>
      </c>
      <c r="I21" s="9" t="n">
        <v>0.07280480467157524</v>
      </c>
      <c r="J21" s="9" t="n">
        <v>0.0734481364531645</v>
      </c>
    </row>
    <row r="22">
      <c r="A22" s="3" t="n">
        <v>14</v>
      </c>
      <c r="B22" s="9" t="n">
        <v>0.07123783803505068</v>
      </c>
      <c r="C22" s="9" t="n">
        <v>0.06556758438880483</v>
      </c>
      <c r="D22" s="9" t="n">
        <v>0.06731287992308888</v>
      </c>
      <c r="E22" s="9" t="n">
        <v>0.06790994257865046</v>
      </c>
      <c r="F22" s="9" t="n">
        <v>0.07005011055781041</v>
      </c>
      <c r="G22" s="9" t="n">
        <v>0.06889432958710096</v>
      </c>
      <c r="H22" s="9" t="n">
        <v>0.06889760032723014</v>
      </c>
      <c r="I22" s="9" t="n">
        <v>0.07286703495227886</v>
      </c>
      <c r="J22" s="9" t="n">
        <v>0.07343764954955545</v>
      </c>
    </row>
    <row r="23">
      <c r="A23" s="3" t="n">
        <v>15</v>
      </c>
      <c r="B23" s="9" t="n">
        <v>0.07128333961876088</v>
      </c>
      <c r="C23" s="9" t="n">
        <v>0.06610846036617146</v>
      </c>
      <c r="D23" s="9" t="n">
        <v>0.06762553956051343</v>
      </c>
      <c r="E23" s="9" t="n">
        <v>0.06825106911158074</v>
      </c>
      <c r="F23" s="9" t="n">
        <v>0.0700779550844508</v>
      </c>
      <c r="G23" s="9" t="n">
        <v>0.06887211003012705</v>
      </c>
      <c r="H23" s="9" t="n">
        <v>0.06888475880708644</v>
      </c>
      <c r="I23" s="9" t="n">
        <v>0.07290453704261868</v>
      </c>
      <c r="J23" s="9" t="n">
        <v>0.07342732969365851</v>
      </c>
    </row>
    <row r="24">
      <c r="A24" s="3" t="n">
        <v>16</v>
      </c>
      <c r="B24" s="9" t="n">
        <v>0.07131609288074947</v>
      </c>
      <c r="C24" s="9" t="n">
        <v>0.066605409751332</v>
      </c>
      <c r="D24" s="9" t="n">
        <v>0.06787403244700152</v>
      </c>
      <c r="E24" s="9" t="n">
        <v>0.06849751538934146</v>
      </c>
      <c r="F24" s="9" t="n">
        <v>0.07008853431787343</v>
      </c>
      <c r="G24" s="9" t="n">
        <v>0.06885139756739833</v>
      </c>
      <c r="H24" s="9" t="n">
        <v>0.06887225489490523</v>
      </c>
      <c r="I24" s="9" t="n">
        <v>0.07292612987593738</v>
      </c>
      <c r="J24" s="9" t="n">
        <v>0.07341674580517021</v>
      </c>
    </row>
    <row r="25">
      <c r="A25" s="3" t="n">
        <v>17</v>
      </c>
      <c r="B25" s="9" t="n">
        <v>0.07133873076191555</v>
      </c>
      <c r="C25" s="9" t="n">
        <v>0.06706501337163906</v>
      </c>
      <c r="D25" s="9" t="n">
        <v>0.06806880766784706</v>
      </c>
      <c r="E25" s="9" t="n">
        <v>0.0686595406264503</v>
      </c>
      <c r="F25" s="9" t="n">
        <v>0.0700833479870806</v>
      </c>
      <c r="G25" s="9" t="n">
        <v>0.06883154770285471</v>
      </c>
      <c r="H25" s="9" t="n">
        <v>0.06885965047678666</v>
      </c>
      <c r="I25" s="9" t="n">
        <v>0.07293600157680946</v>
      </c>
      <c r="J25" s="9" t="n">
        <v>0.07340740716669591</v>
      </c>
    </row>
    <row r="26">
      <c r="A26" s="3" t="n">
        <v>18</v>
      </c>
      <c r="B26" s="9" t="n">
        <v>0.07135420154345473</v>
      </c>
      <c r="C26" s="9" t="n">
        <v>0.06749098050190883</v>
      </c>
      <c r="D26" s="9" t="n">
        <v>0.06822182916684971</v>
      </c>
      <c r="E26" s="9" t="n">
        <v>0.06874904913371327</v>
      </c>
      <c r="F26" s="9" t="n">
        <v>0.07006620276925024</v>
      </c>
      <c r="G26" s="9" t="n">
        <v>0.0688157798739828</v>
      </c>
      <c r="H26" s="9" t="n">
        <v>0.06885032029349625</v>
      </c>
      <c r="I26" s="9" t="n">
        <v>0.07293885975128633</v>
      </c>
      <c r="J26" s="9" t="n">
        <v>0.07339910622292467</v>
      </c>
    </row>
    <row r="27">
      <c r="A27" s="3" t="n">
        <v>19</v>
      </c>
      <c r="B27" s="9" t="n">
        <v>0.07136179815763866</v>
      </c>
      <c r="C27" s="9" t="n">
        <v>0.06788362760552569</v>
      </c>
      <c r="D27" s="9" t="n">
        <v>0.06834469038014634</v>
      </c>
      <c r="E27" s="9" t="n">
        <v>0.06877568595840189</v>
      </c>
      <c r="F27" s="9" t="n">
        <v>0.07004545965550957</v>
      </c>
      <c r="G27" s="9" t="n">
        <v>0.06879994724368288</v>
      </c>
      <c r="H27" s="9" t="n">
        <v>0.06884024995049653</v>
      </c>
      <c r="I27" s="9" t="n">
        <v>0.0729359115964836</v>
      </c>
      <c r="J27" s="9" t="n">
        <v>0.07339167911712163</v>
      </c>
    </row>
    <row r="28">
      <c r="A28" s="3" t="n">
        <v>20</v>
      </c>
      <c r="B28" s="9" t="n">
        <v>0.07136496511212154</v>
      </c>
      <c r="C28" s="9" t="n">
        <v>0.06824346537977588</v>
      </c>
      <c r="D28" s="9" t="n">
        <v>0.06844221308579046</v>
      </c>
      <c r="E28" s="9" t="n">
        <v>0.06875472133625737</v>
      </c>
      <c r="F28" s="9" t="n">
        <v>0.07001806587352877</v>
      </c>
      <c r="G28" s="9" t="n">
        <v>0.06878569807693857</v>
      </c>
      <c r="H28" s="9" t="n">
        <v>0.06883118672291855</v>
      </c>
      <c r="I28" s="9" t="n">
        <v>0.07293069335927727</v>
      </c>
      <c r="J28" s="9" t="n">
        <v>0.07338499476583737</v>
      </c>
    </row>
    <row r="29">
      <c r="A29" s="3" t="n">
        <v>21</v>
      </c>
      <c r="B29" s="9" t="n">
        <v>0.07136537109434093</v>
      </c>
      <c r="C29" s="9" t="n">
        <v>0.0685778056950721</v>
      </c>
      <c r="D29" s="9" t="n">
        <v>0.06852434444570665</v>
      </c>
      <c r="E29" s="9" t="n">
        <v>0.06869250537277938</v>
      </c>
      <c r="F29" s="9" t="n">
        <v>0.06998943603005436</v>
      </c>
      <c r="G29" s="9" t="n">
        <v>0.06877280613738579</v>
      </c>
      <c r="H29" s="9" t="n">
        <v>0.06882298672609299</v>
      </c>
      <c r="I29" s="9" t="n">
        <v>0.07292274597477677</v>
      </c>
      <c r="J29" s="9" t="n">
        <v>0.07337894705530501</v>
      </c>
    </row>
    <row r="30">
      <c r="A30" s="3" t="n">
        <v>22</v>
      </c>
      <c r="B30" s="9" t="n">
        <v>0.07136262879959587</v>
      </c>
      <c r="C30" s="9" t="n">
        <v>0.06888354472561731</v>
      </c>
      <c r="D30" s="9" t="n">
        <v>0.06859556255147181</v>
      </c>
      <c r="E30" s="9" t="n">
        <v>0.0686008835707308</v>
      </c>
      <c r="F30" s="9" t="n">
        <v>0.069958919359844</v>
      </c>
      <c r="G30" s="9" t="n">
        <v>0.06876108632728051</v>
      </c>
      <c r="H30" s="9" t="n">
        <v>0.06881553223811565</v>
      </c>
      <c r="I30" s="9" t="n">
        <v>0.07291393794196588</v>
      </c>
      <c r="J30" s="9" t="n">
        <v>0.07337344916620792</v>
      </c>
    </row>
    <row r="31">
      <c r="A31" s="3" t="n">
        <v>23</v>
      </c>
      <c r="B31" s="9" t="n">
        <v>0.07135871977488972</v>
      </c>
      <c r="C31" s="9" t="n">
        <v>0.069164553546327</v>
      </c>
      <c r="D31" s="9" t="n">
        <v>0.06866575212951442</v>
      </c>
      <c r="E31" s="9" t="n">
        <v>0.06849080331791568</v>
      </c>
      <c r="F31" s="9" t="n">
        <v>0.06992824577587209</v>
      </c>
      <c r="G31" s="9" t="n">
        <v>0.06875038574333625</v>
      </c>
      <c r="H31" s="9" t="n">
        <v>0.06880872601189059</v>
      </c>
      <c r="I31" s="9" t="n">
        <v>0.07290397002965698</v>
      </c>
      <c r="J31" s="9" t="n">
        <v>0.07336842937901755</v>
      </c>
    </row>
    <row r="32">
      <c r="A32" s="3" t="n">
        <v>24</v>
      </c>
      <c r="B32" s="9" t="n">
        <v>0.07135339467743917</v>
      </c>
      <c r="C32" s="9" t="n">
        <v>0.06942030457153137</v>
      </c>
      <c r="D32" s="9" t="n">
        <v>0.06873623701425657</v>
      </c>
      <c r="E32" s="9" t="n">
        <v>0.06837207857750127</v>
      </c>
      <c r="F32" s="9" t="n">
        <v>0.06989697432922504</v>
      </c>
      <c r="G32" s="9" t="n">
        <v>0.06874057696883629</v>
      </c>
      <c r="H32" s="9" t="n">
        <v>0.06880248700925895</v>
      </c>
      <c r="I32" s="9" t="n">
        <v>0.07289508494133901</v>
      </c>
      <c r="J32" s="9" t="n">
        <v>0.07336382792804885</v>
      </c>
    </row>
    <row r="33">
      <c r="A33" s="3" t="n">
        <v>25</v>
      </c>
      <c r="B33" s="9" t="n">
        <v>0.07134640613630205</v>
      </c>
      <c r="C33" s="9" t="n">
        <v>0.06965564009899916</v>
      </c>
      <c r="D33" s="9" t="n">
        <v>0.06881121798742496</v>
      </c>
      <c r="E33" s="9" t="n">
        <v>0.06825819827832258</v>
      </c>
      <c r="F33" s="9" t="n">
        <v>0.06986978062087057</v>
      </c>
      <c r="G33" s="9" t="n">
        <v>0.0687315529758048</v>
      </c>
      <c r="H33" s="9" t="n">
        <v>0.06879674715900341</v>
      </c>
      <c r="I33" s="9" t="n">
        <v>0.07288452029543691</v>
      </c>
      <c r="J33" s="9" t="n">
        <v>0.07335959461058006</v>
      </c>
    </row>
    <row r="34">
      <c r="A34" s="3" t="n">
        <v>26</v>
      </c>
      <c r="B34" s="9" t="n">
        <v>0.07134020930399521</v>
      </c>
      <c r="C34" s="9" t="n">
        <v>0.06986786059763528</v>
      </c>
      <c r="D34" s="9" t="n">
        <v>0.06889551471815336</v>
      </c>
      <c r="E34" s="9" t="n">
        <v>0.06815099170700023</v>
      </c>
      <c r="F34" s="9" t="n">
        <v>0.06984128771299503</v>
      </c>
      <c r="G34" s="9" t="n">
        <v>0.06872322320371183</v>
      </c>
      <c r="H34" s="9" t="n">
        <v>0.06879144886304989</v>
      </c>
      <c r="I34" s="9" t="n">
        <v>0.0728747684069373</v>
      </c>
      <c r="J34" s="9" t="n">
        <v>0.07335568694773542</v>
      </c>
    </row>
    <row r="35">
      <c r="A35" s="3" t="n">
        <v>27</v>
      </c>
      <c r="B35" s="9" t="n">
        <v>0.07133473100169896</v>
      </c>
      <c r="C35" s="9" t="n">
        <v>0.07005987270360658</v>
      </c>
      <c r="D35" s="9" t="n">
        <v>0.06899183020455424</v>
      </c>
      <c r="E35" s="9" t="n">
        <v>0.0680690364813672</v>
      </c>
      <c r="F35" s="9" t="n">
        <v>0.06981667154913396</v>
      </c>
      <c r="G35" s="9" t="n">
        <v>0.06871551050966129</v>
      </c>
      <c r="H35" s="9" t="n">
        <v>0.06878654305688214</v>
      </c>
      <c r="I35" s="9" t="n">
        <v>0.07286863572461288</v>
      </c>
      <c r="J35" s="9" t="n">
        <v>0.07335206875408229</v>
      </c>
    </row>
    <row r="36">
      <c r="A36" s="3" t="n">
        <v>28</v>
      </c>
      <c r="B36" s="9" t="n">
        <v>0.07132990952544582</v>
      </c>
      <c r="C36" s="9" t="n">
        <v>0.0702320632434863</v>
      </c>
      <c r="D36" s="9" t="n">
        <v>0.06910330008747523</v>
      </c>
      <c r="E36" s="9" t="n">
        <v>0.06801584967449648</v>
      </c>
      <c r="F36" s="9" t="n">
        <v>0.06979304584044432</v>
      </c>
      <c r="G36" s="9" t="n">
        <v>0.06870834877216736</v>
      </c>
      <c r="H36" s="9" t="n">
        <v>0.06878198768560351</v>
      </c>
      <c r="I36" s="9" t="n">
        <v>0.07286018354986878</v>
      </c>
      <c r="J36" s="9" t="n">
        <v>0.0733487090137539</v>
      </c>
    </row>
    <row r="37">
      <c r="A37" s="3" t="n">
        <v>29</v>
      </c>
      <c r="B37" s="9" t="n">
        <v>0.07132260160257409</v>
      </c>
      <c r="C37" s="9" t="n">
        <v>0.07038821465634615</v>
      </c>
      <c r="D37" s="9" t="n">
        <v>0.06923354224423295</v>
      </c>
      <c r="E37" s="9" t="n">
        <v>0.06800439883409748</v>
      </c>
      <c r="F37" s="9" t="n">
        <v>0.06977026415151166</v>
      </c>
      <c r="G37" s="9" t="n">
        <v>0.06870168099074614</v>
      </c>
      <c r="H37" s="9" t="n">
        <v>0.06877774649531454</v>
      </c>
      <c r="I37" s="9" t="n">
        <v>0.07285231434358486</v>
      </c>
      <c r="J37" s="9" t="n">
        <v>0.07334558098910859</v>
      </c>
    </row>
    <row r="38">
      <c r="A38" s="3" t="n">
        <v>30</v>
      </c>
      <c r="B38" s="9" t="n">
        <v>0.07131578091953616</v>
      </c>
      <c r="C38" s="9" t="n">
        <v>0.07052603587311124</v>
      </c>
      <c r="D38" s="9" t="n">
        <v>0.0693834969635172</v>
      </c>
      <c r="E38" s="9" t="n">
        <v>0.06803997102526971</v>
      </c>
      <c r="F38" s="9" t="n">
        <v>0.06974819667805932</v>
      </c>
      <c r="G38" s="9" t="n">
        <v>0.06869545776561981</v>
      </c>
      <c r="H38" s="9" t="n">
        <v>0.06877378806622958</v>
      </c>
      <c r="I38" s="9" t="n">
        <v>0.0728449698031286</v>
      </c>
      <c r="J38" s="9" t="n">
        <v>0.07334266150766444</v>
      </c>
    </row>
    <row r="39">
      <c r="A39" s="3" t="n">
        <v>31</v>
      </c>
      <c r="B39" s="9" t="n">
        <v/>
      </c>
      <c r="C39" s="9" t="n">
        <v/>
      </c>
      <c r="D39" s="9" t="n">
        <v/>
      </c>
      <c r="E39" s="9" t="n">
        <v>0.06813519467674478</v>
      </c>
      <c r="F39" s="9" t="n">
        <v>0.06973002053456989</v>
      </c>
      <c r="G39" s="9" t="n">
        <v>0.06868963607169576</v>
      </c>
      <c r="H39" s="9" t="n">
        <v>0.06877008503293869</v>
      </c>
      <c r="I39" s="9" t="n">
        <v>0.07283809914951034</v>
      </c>
      <c r="J39" s="9" t="n">
        <v>0.07333993038705056</v>
      </c>
    </row>
    <row r="40">
      <c r="A40" s="3" t="n">
        <v>32</v>
      </c>
      <c r="B40" s="9" t="n">
        <v/>
      </c>
      <c r="C40" s="9" t="n">
        <v/>
      </c>
      <c r="D40" s="9" t="n">
        <v/>
      </c>
      <c r="E40" s="9" t="n">
        <v>0.06830457668213596</v>
      </c>
      <c r="F40" s="9" t="n">
        <v>0.06971241419833585</v>
      </c>
      <c r="G40" s="9" t="n">
        <v>0.06868417826244455</v>
      </c>
      <c r="H40" s="9" t="n">
        <v>0.06876661345088064</v>
      </c>
      <c r="I40" s="9" t="n">
        <v>0.07283165795170476</v>
      </c>
      <c r="J40" s="9" t="n">
        <v>0.07333736996778661</v>
      </c>
    </row>
    <row r="41">
      <c r="A41" s="3" t="n">
        <v>33</v>
      </c>
      <c r="B41" s="9" t="n">
        <v/>
      </c>
      <c r="C41" s="9" t="n">
        <v/>
      </c>
      <c r="D41" s="9" t="n">
        <v/>
      </c>
      <c r="E41" s="9" t="n">
        <v>0.06855067005399618</v>
      </c>
      <c r="F41" s="9" t="n">
        <v>0.06969529218783799</v>
      </c>
      <c r="G41" s="9" t="n">
        <v>0.06867905125490181</v>
      </c>
      <c r="H41" s="9" t="n">
        <v>0.06876335227800734</v>
      </c>
      <c r="I41" s="9" t="n">
        <v>0.07282560716475128</v>
      </c>
      <c r="J41" s="9" t="n">
        <v>0.07333496473101153</v>
      </c>
    </row>
    <row r="42">
      <c r="A42" s="3" t="n">
        <v>34</v>
      </c>
      <c r="B42" s="9" t="n">
        <v/>
      </c>
      <c r="C42" s="9" t="n">
        <v/>
      </c>
      <c r="D42" s="9" t="n">
        <v/>
      </c>
      <c r="E42" s="9" t="n">
        <v>0.06889202073658085</v>
      </c>
      <c r="F42" s="9" t="n">
        <v>0.0696823411058638</v>
      </c>
      <c r="G42" s="9" t="n">
        <v>0.06867422585850713</v>
      </c>
      <c r="H42" s="9" t="n">
        <v>0.0687602829479228</v>
      </c>
      <c r="I42" s="9" t="n">
        <v>0.07281991233761653</v>
      </c>
      <c r="J42" s="9" t="n">
        <v>0.07333270098367617</v>
      </c>
    </row>
    <row r="43">
      <c r="A43" s="3" t="n">
        <v>35</v>
      </c>
      <c r="B43" s="9" t="n">
        <v/>
      </c>
      <c r="C43" s="9" t="n">
        <v/>
      </c>
      <c r="D43" s="9" t="n">
        <v/>
      </c>
      <c r="E43" s="9" t="n">
        <v>0.06933877210516326</v>
      </c>
      <c r="F43" s="9" t="n">
        <v>0.06966588138260521</v>
      </c>
      <c r="G43" s="9" t="n">
        <v>0.06866967621900533</v>
      </c>
      <c r="H43" s="9" t="n">
        <v>0.0687573890162021</v>
      </c>
      <c r="I43" s="9" t="n">
        <v>0.07281454295686318</v>
      </c>
      <c r="J43" s="9" t="n">
        <v>0.07333056659770443</v>
      </c>
    </row>
    <row r="44">
      <c r="A44" s="3" t="n">
        <v>36</v>
      </c>
      <c r="B44" s="9" t="n">
        <v/>
      </c>
      <c r="C44" s="9" t="n">
        <v/>
      </c>
      <c r="D44" s="9" t="n">
        <v/>
      </c>
      <c r="E44" s="9" t="n">
        <v>0.06990793943752105</v>
      </c>
      <c r="F44" s="9" t="n">
        <v>0.06965381731507025</v>
      </c>
      <c r="G44" s="9" t="n">
        <v>0.06866537935503869</v>
      </c>
      <c r="H44" s="9" t="n">
        <v>0.06875465586566087</v>
      </c>
      <c r="I44" s="9" t="n">
        <v>0.07280947189971587</v>
      </c>
      <c r="J44" s="9" t="n">
        <v>0.07332855079262823</v>
      </c>
    </row>
    <row r="45">
      <c r="A45" s="3" t="n">
        <v>37</v>
      </c>
      <c r="B45" s="9" t="n">
        <v/>
      </c>
      <c r="C45" s="9" t="n">
        <v/>
      </c>
      <c r="D45" s="9" t="n">
        <v/>
      </c>
      <c r="E45" s="9" t="n">
        <v>0.07062553569601038</v>
      </c>
      <c r="F45" s="9" t="n">
        <v>0.06964207378884057</v>
      </c>
      <c r="G45" s="9" t="n">
        <v>0.06866131476989001</v>
      </c>
      <c r="H45" s="9" t="n">
        <v>0.06875207045942</v>
      </c>
      <c r="I45" s="9" t="n">
        <v>0.07280467497582732</v>
      </c>
      <c r="J45" s="9" t="n">
        <v>0.07332664395347321</v>
      </c>
    </row>
    <row r="46">
      <c r="A46" s="3" t="n">
        <v>38</v>
      </c>
      <c r="B46" s="9" t="n">
        <v/>
      </c>
      <c r="C46" s="9" t="n">
        <v/>
      </c>
      <c r="D46" s="9" t="n">
        <v/>
      </c>
      <c r="E46" s="9" t="n">
        <v>0.07150489883062905</v>
      </c>
      <c r="F46" s="9" t="n">
        <v>0.06963512364322177</v>
      </c>
      <c r="G46" s="9" t="n">
        <v>0.06865746412453588</v>
      </c>
      <c r="H46" s="9" t="n">
        <v>0.06874962113296101</v>
      </c>
      <c r="I46" s="9" t="n">
        <v>0.07280013054140233</v>
      </c>
      <c r="J46" s="9" t="n">
        <v>0.07332483747739849</v>
      </c>
    </row>
    <row r="47">
      <c r="A47" s="3" t="n">
        <v>39</v>
      </c>
      <c r="B47" s="9" t="n">
        <v/>
      </c>
      <c r="C47" s="9" t="n">
        <v/>
      </c>
      <c r="D47" s="9" t="n">
        <v/>
      </c>
      <c r="E47" s="9" t="n">
        <v>0.072580353982034</v>
      </c>
      <c r="F47" s="9" t="n">
        <v>0.06962379615034675</v>
      </c>
      <c r="G47" s="9" t="n">
        <v>0.06865381096099998</v>
      </c>
      <c r="H47" s="9" t="n">
        <v>0.06874729741817576</v>
      </c>
      <c r="I47" s="9" t="n">
        <v>0.07279581917269162</v>
      </c>
      <c r="J47" s="9" t="n">
        <v>0.0733231236439329</v>
      </c>
    </row>
    <row r="48">
      <c r="A48" s="3" t="n">
        <v>40</v>
      </c>
      <c r="B48" s="9" t="n">
        <v/>
      </c>
      <c r="C48" s="9" t="n">
        <v/>
      </c>
      <c r="D48" s="9" t="n">
        <v/>
      </c>
      <c r="E48" s="9" t="n">
        <v>0.07389814543909035</v>
      </c>
      <c r="F48" s="9" t="n">
        <v>0.06961266580597658</v>
      </c>
      <c r="G48" s="9" t="n">
        <v>0.06865034046720808</v>
      </c>
      <c r="H48" s="9" t="n">
        <v>0.06874508989380979</v>
      </c>
      <c r="I48" s="9" t="n">
        <v>0.07279172338846496</v>
      </c>
      <c r="J48" s="9" t="n">
        <v>0.07332149550467548</v>
      </c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4" t="inlineStr">
        <is>
          <t>Forward Rate (IDR) ---- Forward rate of t=3 means the interest rate is effective from t=2 to t=3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6" t="inlineStr">
        <is>
          <t>Time Period</t>
        </is>
      </c>
      <c r="B54" s="7" t="n">
        <v>45656</v>
      </c>
      <c r="C54" s="7" t="n">
        <v>46022</v>
      </c>
      <c r="D54" s="7" t="n">
        <v>46052</v>
      </c>
      <c r="E54" s="7" t="n">
        <v>46080</v>
      </c>
      <c r="F54" s="7" t="n">
        <v>46112</v>
      </c>
      <c r="G54" s="7" t="n">
        <v>46142</v>
      </c>
      <c r="H54" s="7" t="n">
        <v>46171</v>
      </c>
      <c r="I54" s="7" t="n">
        <v>46203</v>
      </c>
      <c r="J54" s="7" t="n">
        <v>46234</v>
      </c>
    </row>
    <row r="55">
      <c r="A55" s="6" t="inlineStr">
        <is>
          <t>Rate Type</t>
        </is>
      </c>
      <c r="B55" s="8" t="inlineStr">
        <is>
          <t>Forward</t>
        </is>
      </c>
      <c r="C55" s="8" t="inlineStr">
        <is>
          <t>Forward</t>
        </is>
      </c>
      <c r="D55" s="8" t="inlineStr">
        <is>
          <t>Forward</t>
        </is>
      </c>
      <c r="E55" s="8" t="inlineStr">
        <is>
          <t>Forward</t>
        </is>
      </c>
      <c r="F55" s="8" t="inlineStr">
        <is>
          <t>Forward</t>
        </is>
      </c>
      <c r="G55" s="8" t="inlineStr">
        <is>
          <t>Forward</t>
        </is>
      </c>
      <c r="H55" s="8" t="inlineStr">
        <is>
          <t>Forward</t>
        </is>
      </c>
      <c r="I55" s="8" t="inlineStr">
        <is>
          <t>Forward</t>
        </is>
      </c>
      <c r="J55" s="8" t="inlineStr">
        <is>
          <t>Forward</t>
        </is>
      </c>
    </row>
    <row r="56">
      <c r="A56" s="6" t="inlineStr">
        <is>
          <t>Tenor Year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>
        <v>1</v>
      </c>
      <c r="B57" s="9">
        <f>B9</f>
        <v/>
      </c>
      <c r="C57" s="9">
        <f>C9</f>
        <v/>
      </c>
      <c r="D57" s="9">
        <f>D9</f>
        <v/>
      </c>
      <c r="E57" s="9">
        <f>E9</f>
        <v/>
      </c>
      <c r="F57" s="9">
        <f>F9</f>
        <v/>
      </c>
      <c r="G57" s="9">
        <f>G9</f>
        <v/>
      </c>
      <c r="H57" s="9">
        <f>H9</f>
        <v/>
      </c>
      <c r="I57" s="9">
        <f>I9</f>
        <v/>
      </c>
      <c r="J57" s="9">
        <f>J9</f>
        <v/>
      </c>
    </row>
    <row r="58">
      <c r="A58" s="3" t="n">
        <v>2</v>
      </c>
      <c r="B58" s="9">
        <f>((1+B10)^2/((1+B9)^1))-1</f>
        <v/>
      </c>
      <c r="C58" s="9">
        <f>((1+C10)^2/((1+C9)^1))-1</f>
        <v/>
      </c>
      <c r="D58" s="9">
        <f>((1+D10)^2/((1+D9)^1))-1</f>
        <v/>
      </c>
      <c r="E58" s="9">
        <f>((1+E10)^2/((1+E9)^1))-1</f>
        <v/>
      </c>
      <c r="F58" s="9">
        <f>((1+F10)^2/((1+F9)^1))-1</f>
        <v/>
      </c>
      <c r="G58" s="9">
        <f>((1+G10)^2/((1+G9)^1))-1</f>
        <v/>
      </c>
      <c r="H58" s="9">
        <f>((1+H10)^2/((1+H9)^1))-1</f>
        <v/>
      </c>
      <c r="I58" s="9">
        <f>((1+I10)^2/((1+I9)^1))-1</f>
        <v/>
      </c>
      <c r="J58" s="9">
        <f>((1+J10)^2/((1+J9)^1))-1</f>
        <v/>
      </c>
    </row>
    <row r="59">
      <c r="A59" s="3" t="n">
        <v>3</v>
      </c>
      <c r="B59" s="9">
        <f>((1+B11)^3/((1+B10)^2))-1</f>
        <v/>
      </c>
      <c r="C59" s="9">
        <f>((1+C11)^3/((1+C10)^2))-1</f>
        <v/>
      </c>
      <c r="D59" s="9">
        <f>((1+D11)^3/((1+D10)^2))-1</f>
        <v/>
      </c>
      <c r="E59" s="9">
        <f>((1+E11)^3/((1+E10)^2))-1</f>
        <v/>
      </c>
      <c r="F59" s="9">
        <f>((1+F11)^3/((1+F10)^2))-1</f>
        <v/>
      </c>
      <c r="G59" s="9">
        <f>((1+G11)^3/((1+G10)^2))-1</f>
        <v/>
      </c>
      <c r="H59" s="9">
        <f>((1+H11)^3/((1+H10)^2))-1</f>
        <v/>
      </c>
      <c r="I59" s="9">
        <f>((1+I11)^3/((1+I10)^2))-1</f>
        <v/>
      </c>
      <c r="J59" s="9">
        <f>((1+J11)^3/((1+J10)^2))-1</f>
        <v/>
      </c>
    </row>
    <row r="60">
      <c r="A60" s="3" t="n">
        <v>4</v>
      </c>
      <c r="B60" s="9">
        <f>((1+B12)^4/((1+B11)^3))-1</f>
        <v/>
      </c>
      <c r="C60" s="9">
        <f>((1+C12)^4/((1+C11)^3))-1</f>
        <v/>
      </c>
      <c r="D60" s="9">
        <f>((1+D12)^4/((1+D11)^3))-1</f>
        <v/>
      </c>
      <c r="E60" s="9">
        <f>((1+E12)^4/((1+E11)^3))-1</f>
        <v/>
      </c>
      <c r="F60" s="9">
        <f>((1+F12)^4/((1+F11)^3))-1</f>
        <v/>
      </c>
      <c r="G60" s="9">
        <f>((1+G12)^4/((1+G11)^3))-1</f>
        <v/>
      </c>
      <c r="H60" s="9">
        <f>((1+H12)^4/((1+H11)^3))-1</f>
        <v/>
      </c>
      <c r="I60" s="9">
        <f>((1+I12)^4/((1+I11)^3))-1</f>
        <v/>
      </c>
      <c r="J60" s="9">
        <f>((1+J12)^4/((1+J11)^3))-1</f>
        <v/>
      </c>
    </row>
    <row r="61">
      <c r="A61" s="3" t="n">
        <v>5</v>
      </c>
      <c r="B61" s="9">
        <f>((1+B13)^5/((1+B12)^4))-1</f>
        <v/>
      </c>
      <c r="C61" s="9">
        <f>((1+C13)^5/((1+C12)^4))-1</f>
        <v/>
      </c>
      <c r="D61" s="9">
        <f>((1+D13)^5/((1+D12)^4))-1</f>
        <v/>
      </c>
      <c r="E61" s="9">
        <f>((1+E13)^5/((1+E12)^4))-1</f>
        <v/>
      </c>
      <c r="F61" s="9">
        <f>((1+F13)^5/((1+F12)^4))-1</f>
        <v/>
      </c>
      <c r="G61" s="9">
        <f>((1+G13)^5/((1+G12)^4))-1</f>
        <v/>
      </c>
      <c r="H61" s="9">
        <f>((1+H13)^5/((1+H12)^4))-1</f>
        <v/>
      </c>
      <c r="I61" s="9">
        <f>((1+I13)^5/((1+I12)^4))-1</f>
        <v/>
      </c>
      <c r="J61" s="9">
        <f>((1+J13)^5/((1+J12)^4))-1</f>
        <v/>
      </c>
    </row>
    <row r="62">
      <c r="A62" s="3" t="n">
        <v>6</v>
      </c>
      <c r="B62" s="9">
        <f>((1+B14)^6/((1+B13)^5))-1</f>
        <v/>
      </c>
      <c r="C62" s="9">
        <f>((1+C14)^6/((1+C13)^5))-1</f>
        <v/>
      </c>
      <c r="D62" s="9">
        <f>((1+D14)^6/((1+D13)^5))-1</f>
        <v/>
      </c>
      <c r="E62" s="9">
        <f>((1+E14)^6/((1+E13)^5))-1</f>
        <v/>
      </c>
      <c r="F62" s="9">
        <f>((1+F14)^6/((1+F13)^5))-1</f>
        <v/>
      </c>
      <c r="G62" s="9">
        <f>((1+G14)^6/((1+G13)^5))-1</f>
        <v/>
      </c>
      <c r="H62" s="9">
        <f>((1+H14)^6/((1+H13)^5))-1</f>
        <v/>
      </c>
      <c r="I62" s="9">
        <f>((1+I14)^6/((1+I13)^5))-1</f>
        <v/>
      </c>
      <c r="J62" s="9">
        <f>((1+J14)^6/((1+J13)^5))-1</f>
        <v/>
      </c>
    </row>
    <row r="63">
      <c r="A63" s="3" t="n">
        <v>7</v>
      </c>
      <c r="B63" s="9">
        <f>((1+B15)^7/((1+B14)^6))-1</f>
        <v/>
      </c>
      <c r="C63" s="9">
        <f>((1+C15)^7/((1+C14)^6))-1</f>
        <v/>
      </c>
      <c r="D63" s="9">
        <f>((1+D15)^7/((1+D14)^6))-1</f>
        <v/>
      </c>
      <c r="E63" s="9">
        <f>((1+E15)^7/((1+E14)^6))-1</f>
        <v/>
      </c>
      <c r="F63" s="9">
        <f>((1+F15)^7/((1+F14)^6))-1</f>
        <v/>
      </c>
      <c r="G63" s="9">
        <f>((1+G15)^7/((1+G14)^6))-1</f>
        <v/>
      </c>
      <c r="H63" s="9">
        <f>((1+H15)^7/((1+H14)^6))-1</f>
        <v/>
      </c>
      <c r="I63" s="9">
        <f>((1+I15)^7/((1+I14)^6))-1</f>
        <v/>
      </c>
      <c r="J63" s="9">
        <f>((1+J15)^7/((1+J14)^6))-1</f>
        <v/>
      </c>
    </row>
    <row r="64">
      <c r="A64" s="3" t="n">
        <v>8</v>
      </c>
      <c r="B64" s="9">
        <f>((1+B16)^8/((1+B15)^7))-1</f>
        <v/>
      </c>
      <c r="C64" s="9">
        <f>((1+C16)^8/((1+C15)^7))-1</f>
        <v/>
      </c>
      <c r="D64" s="9">
        <f>((1+D16)^8/((1+D15)^7))-1</f>
        <v/>
      </c>
      <c r="E64" s="9">
        <f>((1+E16)^8/((1+E15)^7))-1</f>
        <v/>
      </c>
      <c r="F64" s="9">
        <f>((1+F16)^8/((1+F15)^7))-1</f>
        <v/>
      </c>
      <c r="G64" s="9">
        <f>((1+G16)^8/((1+G15)^7))-1</f>
        <v/>
      </c>
      <c r="H64" s="9">
        <f>((1+H16)^8/((1+H15)^7))-1</f>
        <v/>
      </c>
      <c r="I64" s="9">
        <f>((1+I16)^8/((1+I15)^7))-1</f>
        <v/>
      </c>
      <c r="J64" s="9">
        <f>((1+J16)^8/((1+J15)^7))-1</f>
        <v/>
      </c>
    </row>
    <row r="65">
      <c r="A65" s="3" t="n">
        <v>9</v>
      </c>
      <c r="B65" s="9">
        <f>((1+B17)^9/((1+B16)^8))-1</f>
        <v/>
      </c>
      <c r="C65" s="9">
        <f>((1+C17)^9/((1+C16)^8))-1</f>
        <v/>
      </c>
      <c r="D65" s="9">
        <f>((1+D17)^9/((1+D16)^8))-1</f>
        <v/>
      </c>
      <c r="E65" s="9">
        <f>((1+E17)^9/((1+E16)^8))-1</f>
        <v/>
      </c>
      <c r="F65" s="9">
        <f>((1+F17)^9/((1+F16)^8))-1</f>
        <v/>
      </c>
      <c r="G65" s="9">
        <f>((1+G17)^9/((1+G16)^8))-1</f>
        <v/>
      </c>
      <c r="H65" s="9">
        <f>((1+H17)^9/((1+H16)^8))-1</f>
        <v/>
      </c>
      <c r="I65" s="9">
        <f>((1+I17)^9/((1+I16)^8))-1</f>
        <v/>
      </c>
      <c r="J65" s="9">
        <f>((1+J17)^9/((1+J16)^8))-1</f>
        <v/>
      </c>
    </row>
    <row r="66">
      <c r="A66" s="3" t="n">
        <v>10</v>
      </c>
      <c r="B66" s="9">
        <f>((1+B18)^10/((1+B17)^9))-1</f>
        <v/>
      </c>
      <c r="C66" s="9">
        <f>((1+C18)^10/((1+C17)^9))-1</f>
        <v/>
      </c>
      <c r="D66" s="9">
        <f>((1+D18)^10/((1+D17)^9))-1</f>
        <v/>
      </c>
      <c r="E66" s="9">
        <f>((1+E18)^10/((1+E17)^9))-1</f>
        <v/>
      </c>
      <c r="F66" s="9">
        <f>((1+F18)^10/((1+F17)^9))-1</f>
        <v/>
      </c>
      <c r="G66" s="9">
        <f>((1+G18)^10/((1+G17)^9))-1</f>
        <v/>
      </c>
      <c r="H66" s="9">
        <f>((1+H18)^10/((1+H17)^9))-1</f>
        <v/>
      </c>
      <c r="I66" s="9">
        <f>((1+I18)^10/((1+I17)^9))-1</f>
        <v/>
      </c>
      <c r="J66" s="9">
        <f>((1+J18)^10/((1+J17)^9))-1</f>
        <v/>
      </c>
    </row>
    <row r="67">
      <c r="A67" s="3" t="n">
        <v>11</v>
      </c>
      <c r="B67" s="9">
        <f>((1+B19)^11/((1+B18)^10))-1</f>
        <v/>
      </c>
      <c r="C67" s="9">
        <f>((1+C19)^11/((1+C18)^10))-1</f>
        <v/>
      </c>
      <c r="D67" s="9">
        <f>((1+D19)^11/((1+D18)^10))-1</f>
        <v/>
      </c>
      <c r="E67" s="9">
        <f>((1+E19)^11/((1+E18)^10))-1</f>
        <v/>
      </c>
      <c r="F67" s="9">
        <f>((1+F19)^11/((1+F18)^10))-1</f>
        <v/>
      </c>
      <c r="G67" s="9">
        <f>((1+G19)^11/((1+G18)^10))-1</f>
        <v/>
      </c>
      <c r="H67" s="9">
        <f>((1+H19)^11/((1+H18)^10))-1</f>
        <v/>
      </c>
      <c r="I67" s="9">
        <f>((1+I19)^11/((1+I18)^10))-1</f>
        <v/>
      </c>
      <c r="J67" s="9">
        <f>((1+J19)^11/((1+J18)^10))-1</f>
        <v/>
      </c>
    </row>
    <row r="68">
      <c r="A68" s="3" t="n">
        <v>12</v>
      </c>
      <c r="B68" s="9">
        <f>((1+B20)^12/((1+B19)^11))-1</f>
        <v/>
      </c>
      <c r="C68" s="9">
        <f>((1+C20)^12/((1+C19)^11))-1</f>
        <v/>
      </c>
      <c r="D68" s="9">
        <f>((1+D20)^12/((1+D19)^11))-1</f>
        <v/>
      </c>
      <c r="E68" s="9">
        <f>((1+E20)^12/((1+E19)^11))-1</f>
        <v/>
      </c>
      <c r="F68" s="9">
        <f>((1+F20)^12/((1+F19)^11))-1</f>
        <v/>
      </c>
      <c r="G68" s="9">
        <f>((1+G20)^12/((1+G19)^11))-1</f>
        <v/>
      </c>
      <c r="H68" s="9">
        <f>((1+H20)^12/((1+H19)^11))-1</f>
        <v/>
      </c>
      <c r="I68" s="9">
        <f>((1+I20)^12/((1+I19)^11))-1</f>
        <v/>
      </c>
      <c r="J68" s="9">
        <f>((1+J20)^12/((1+J19)^11))-1</f>
        <v/>
      </c>
    </row>
    <row r="69">
      <c r="A69" s="3" t="n">
        <v>13</v>
      </c>
      <c r="B69" s="9">
        <f>((1+B21)^13/((1+B20)^12))-1</f>
        <v/>
      </c>
      <c r="C69" s="9">
        <f>((1+C21)^13/((1+C20)^12))-1</f>
        <v/>
      </c>
      <c r="D69" s="9">
        <f>((1+D21)^13/((1+D20)^12))-1</f>
        <v/>
      </c>
      <c r="E69" s="9">
        <f>((1+E21)^13/((1+E20)^12))-1</f>
        <v/>
      </c>
      <c r="F69" s="9">
        <f>((1+F21)^13/((1+F20)^12))-1</f>
        <v/>
      </c>
      <c r="G69" s="9">
        <f>((1+G21)^13/((1+G20)^12))-1</f>
        <v/>
      </c>
      <c r="H69" s="9">
        <f>((1+H21)^13/((1+H20)^12))-1</f>
        <v/>
      </c>
      <c r="I69" s="9">
        <f>((1+I21)^13/((1+I20)^12))-1</f>
        <v/>
      </c>
      <c r="J69" s="9">
        <f>((1+J21)^13/((1+J20)^12))-1</f>
        <v/>
      </c>
    </row>
    <row r="70">
      <c r="A70" s="3" t="n">
        <v>14</v>
      </c>
      <c r="B70" s="9">
        <f>((1+B22)^14/((1+B21)^13))-1</f>
        <v/>
      </c>
      <c r="C70" s="9">
        <f>((1+C22)^14/((1+C21)^13))-1</f>
        <v/>
      </c>
      <c r="D70" s="9">
        <f>((1+D22)^14/((1+D21)^13))-1</f>
        <v/>
      </c>
      <c r="E70" s="9">
        <f>((1+E22)^14/((1+E21)^13))-1</f>
        <v/>
      </c>
      <c r="F70" s="9">
        <f>((1+F22)^14/((1+F21)^13))-1</f>
        <v/>
      </c>
      <c r="G70" s="9">
        <f>((1+G22)^14/((1+G21)^13))-1</f>
        <v/>
      </c>
      <c r="H70" s="9">
        <f>((1+H22)^14/((1+H21)^13))-1</f>
        <v/>
      </c>
      <c r="I70" s="9">
        <f>((1+I22)^14/((1+I21)^13))-1</f>
        <v/>
      </c>
      <c r="J70" s="9">
        <f>((1+J22)^14/((1+J21)^13))-1</f>
        <v/>
      </c>
    </row>
    <row r="71">
      <c r="A71" s="3" t="n">
        <v>15</v>
      </c>
      <c r="B71" s="9">
        <f>((1+B23)^15/((1+B22)^14))-1</f>
        <v/>
      </c>
      <c r="C71" s="9">
        <f>((1+C23)^15/((1+C22)^14))-1</f>
        <v/>
      </c>
      <c r="D71" s="9">
        <f>((1+D23)^15/((1+D22)^14))-1</f>
        <v/>
      </c>
      <c r="E71" s="9">
        <f>((1+E23)^15/((1+E22)^14))-1</f>
        <v/>
      </c>
      <c r="F71" s="9">
        <f>((1+F23)^15/((1+F22)^14))-1</f>
        <v/>
      </c>
      <c r="G71" s="9">
        <f>((1+G23)^15/((1+G22)^14))-1</f>
        <v/>
      </c>
      <c r="H71" s="9">
        <f>((1+H23)^15/((1+H22)^14))-1</f>
        <v/>
      </c>
      <c r="I71" s="9">
        <f>((1+I23)^15/((1+I22)^14))-1</f>
        <v/>
      </c>
      <c r="J71" s="9">
        <f>((1+J23)^15/((1+J22)^14))-1</f>
        <v/>
      </c>
    </row>
    <row r="72">
      <c r="A72" s="3" t="n">
        <v>16</v>
      </c>
      <c r="B72" s="9">
        <f>((1+B24)^16/((1+B23)^15))-1</f>
        <v/>
      </c>
      <c r="C72" s="9">
        <f>((1+C24)^16/((1+C23)^15))-1</f>
        <v/>
      </c>
      <c r="D72" s="9">
        <f>((1+D24)^16/((1+D23)^15))-1</f>
        <v/>
      </c>
      <c r="E72" s="9">
        <f>((1+E24)^16/((1+E23)^15))-1</f>
        <v/>
      </c>
      <c r="F72" s="9">
        <f>((1+F24)^16/((1+F23)^15))-1</f>
        <v/>
      </c>
      <c r="G72" s="9">
        <f>((1+G24)^16/((1+G23)^15))-1</f>
        <v/>
      </c>
      <c r="H72" s="9">
        <f>((1+H24)^16/((1+H23)^15))-1</f>
        <v/>
      </c>
      <c r="I72" s="9">
        <f>((1+I24)^16/((1+I23)^15))-1</f>
        <v/>
      </c>
      <c r="J72" s="9">
        <f>((1+J24)^16/((1+J23)^15))-1</f>
        <v/>
      </c>
    </row>
    <row r="73">
      <c r="A73" s="3" t="n">
        <v>17</v>
      </c>
      <c r="B73" s="9">
        <f>((1+B25)^17/((1+B24)^16))-1</f>
        <v/>
      </c>
      <c r="C73" s="9">
        <f>((1+C25)^17/((1+C24)^16))-1</f>
        <v/>
      </c>
      <c r="D73" s="9">
        <f>((1+D25)^17/((1+D24)^16))-1</f>
        <v/>
      </c>
      <c r="E73" s="9">
        <f>((1+E25)^17/((1+E24)^16))-1</f>
        <v/>
      </c>
      <c r="F73" s="9">
        <f>((1+F25)^17/((1+F24)^16))-1</f>
        <v/>
      </c>
      <c r="G73" s="9">
        <f>((1+G25)^17/((1+G24)^16))-1</f>
        <v/>
      </c>
      <c r="H73" s="9">
        <f>((1+H25)^17/((1+H24)^16))-1</f>
        <v/>
      </c>
      <c r="I73" s="9">
        <f>((1+I25)^17/((1+I24)^16))-1</f>
        <v/>
      </c>
      <c r="J73" s="9">
        <f>((1+J25)^17/((1+J24)^16))-1</f>
        <v/>
      </c>
    </row>
    <row r="74">
      <c r="A74" s="3" t="n">
        <v>18</v>
      </c>
      <c r="B74" s="9">
        <f>((1+B26)^18/((1+B25)^17))-1</f>
        <v/>
      </c>
      <c r="C74" s="9">
        <f>((1+C26)^18/((1+C25)^17))-1</f>
        <v/>
      </c>
      <c r="D74" s="9">
        <f>((1+D26)^18/((1+D25)^17))-1</f>
        <v/>
      </c>
      <c r="E74" s="9">
        <f>((1+E26)^18/((1+E25)^17))-1</f>
        <v/>
      </c>
      <c r="F74" s="9">
        <f>((1+F26)^18/((1+F25)^17))-1</f>
        <v/>
      </c>
      <c r="G74" s="9">
        <f>((1+G26)^18/((1+G25)^17))-1</f>
        <v/>
      </c>
      <c r="H74" s="9">
        <f>((1+H26)^18/((1+H25)^17))-1</f>
        <v/>
      </c>
      <c r="I74" s="9">
        <f>((1+I26)^18/((1+I25)^17))-1</f>
        <v/>
      </c>
      <c r="J74" s="9">
        <f>((1+J26)^18/((1+J25)^17))-1</f>
        <v/>
      </c>
    </row>
    <row r="75">
      <c r="A75" s="3" t="n">
        <v>19</v>
      </c>
      <c r="B75" s="9">
        <f>((1+B27)^19/((1+B26)^18))-1</f>
        <v/>
      </c>
      <c r="C75" s="9">
        <f>((1+C27)^19/((1+C26)^18))-1</f>
        <v/>
      </c>
      <c r="D75" s="9">
        <f>((1+D27)^19/((1+D26)^18))-1</f>
        <v/>
      </c>
      <c r="E75" s="9">
        <f>((1+E27)^19/((1+E26)^18))-1</f>
        <v/>
      </c>
      <c r="F75" s="9">
        <f>((1+F27)^19/((1+F26)^18))-1</f>
        <v/>
      </c>
      <c r="G75" s="9">
        <f>((1+G27)^19/((1+G26)^18))-1</f>
        <v/>
      </c>
      <c r="H75" s="9">
        <f>((1+H27)^19/((1+H26)^18))-1</f>
        <v/>
      </c>
      <c r="I75" s="9">
        <f>((1+I27)^19/((1+I26)^18))-1</f>
        <v/>
      </c>
      <c r="J75" s="9">
        <f>((1+J27)^19/((1+J26)^18))-1</f>
        <v/>
      </c>
    </row>
    <row r="76">
      <c r="A76" s="3" t="n">
        <v>20</v>
      </c>
      <c r="B76" s="9">
        <f>((1+B28)^20/((1+B27)^19))-1</f>
        <v/>
      </c>
      <c r="C76" s="9">
        <f>((1+C28)^20/((1+C27)^19))-1</f>
        <v/>
      </c>
      <c r="D76" s="9">
        <f>((1+D28)^20/((1+D27)^19))-1</f>
        <v/>
      </c>
      <c r="E76" s="9">
        <f>((1+E28)^20/((1+E27)^19))-1</f>
        <v/>
      </c>
      <c r="F76" s="9">
        <f>((1+F28)^20/((1+F27)^19))-1</f>
        <v/>
      </c>
      <c r="G76" s="9">
        <f>((1+G28)^20/((1+G27)^19))-1</f>
        <v/>
      </c>
      <c r="H76" s="9">
        <f>((1+H28)^20/((1+H27)^19))-1</f>
        <v/>
      </c>
      <c r="I76" s="9">
        <f>((1+I28)^20/((1+I27)^19))-1</f>
        <v/>
      </c>
      <c r="J76" s="9">
        <f>((1+J28)^20/((1+J27)^19))-1</f>
        <v/>
      </c>
    </row>
    <row r="77">
      <c r="A77" s="3" t="n">
        <v>21</v>
      </c>
      <c r="B77" s="9">
        <f>((1+B29)^21/((1+B28)^20))-1</f>
        <v/>
      </c>
      <c r="C77" s="9">
        <f>((1+C29)^21/((1+C28)^20))-1</f>
        <v/>
      </c>
      <c r="D77" s="9">
        <f>((1+D29)^21/((1+D28)^20))-1</f>
        <v/>
      </c>
      <c r="E77" s="9">
        <f>((1+E29)^21/((1+E28)^20))-1</f>
        <v/>
      </c>
      <c r="F77" s="9">
        <f>((1+F29)^21/((1+F28)^20))-1</f>
        <v/>
      </c>
      <c r="G77" s="9">
        <f>((1+G29)^21/((1+G28)^20))-1</f>
        <v/>
      </c>
      <c r="H77" s="9">
        <f>((1+H29)^21/((1+H28)^20))-1</f>
        <v/>
      </c>
      <c r="I77" s="9">
        <f>((1+I29)^21/((1+I28)^20))-1</f>
        <v/>
      </c>
      <c r="J77" s="9">
        <f>((1+J29)^21/((1+J28)^20))-1</f>
        <v/>
      </c>
    </row>
    <row r="78">
      <c r="A78" s="3" t="n">
        <v>22</v>
      </c>
      <c r="B78" s="9">
        <f>((1+B30)^22/((1+B29)^21))-1</f>
        <v/>
      </c>
      <c r="C78" s="9">
        <f>((1+C30)^22/((1+C29)^21))-1</f>
        <v/>
      </c>
      <c r="D78" s="9">
        <f>((1+D30)^22/((1+D29)^21))-1</f>
        <v/>
      </c>
      <c r="E78" s="9">
        <f>((1+E30)^22/((1+E29)^21))-1</f>
        <v/>
      </c>
      <c r="F78" s="9">
        <f>((1+F30)^22/((1+F29)^21))-1</f>
        <v/>
      </c>
      <c r="G78" s="9">
        <f>((1+G30)^22/((1+G29)^21))-1</f>
        <v/>
      </c>
      <c r="H78" s="9">
        <f>((1+H30)^22/((1+H29)^21))-1</f>
        <v/>
      </c>
      <c r="I78" s="9">
        <f>((1+I30)^22/((1+I29)^21))-1</f>
        <v/>
      </c>
      <c r="J78" s="9">
        <f>((1+J30)^22/((1+J29)^21))-1</f>
        <v/>
      </c>
    </row>
    <row r="79">
      <c r="A79" s="3" t="n">
        <v>23</v>
      </c>
      <c r="B79" s="9">
        <f>((1+B31)^23/((1+B30)^22))-1</f>
        <v/>
      </c>
      <c r="C79" s="9">
        <f>((1+C31)^23/((1+C30)^22))-1</f>
        <v/>
      </c>
      <c r="D79" s="9">
        <f>((1+D31)^23/((1+D30)^22))-1</f>
        <v/>
      </c>
      <c r="E79" s="9">
        <f>((1+E31)^23/((1+E30)^22))-1</f>
        <v/>
      </c>
      <c r="F79" s="9">
        <f>((1+F31)^23/((1+F30)^22))-1</f>
        <v/>
      </c>
      <c r="G79" s="9">
        <f>((1+G31)^23/((1+G30)^22))-1</f>
        <v/>
      </c>
      <c r="H79" s="9">
        <f>((1+H31)^23/((1+H30)^22))-1</f>
        <v/>
      </c>
      <c r="I79" s="9">
        <f>((1+I31)^23/((1+I30)^22))-1</f>
        <v/>
      </c>
      <c r="J79" s="9">
        <f>((1+J31)^23/((1+J30)^22))-1</f>
        <v/>
      </c>
    </row>
    <row r="80">
      <c r="A80" s="3" t="n">
        <v>24</v>
      </c>
      <c r="B80" s="9">
        <f>((1+B32)^24/((1+B31)^23))-1</f>
        <v/>
      </c>
      <c r="C80" s="9">
        <f>((1+C32)^24/((1+C31)^23))-1</f>
        <v/>
      </c>
      <c r="D80" s="9">
        <f>((1+D32)^24/((1+D31)^23))-1</f>
        <v/>
      </c>
      <c r="E80" s="9">
        <f>((1+E32)^24/((1+E31)^23))-1</f>
        <v/>
      </c>
      <c r="F80" s="9">
        <f>((1+F32)^24/((1+F31)^23))-1</f>
        <v/>
      </c>
      <c r="G80" s="9">
        <f>((1+G32)^24/((1+G31)^23))-1</f>
        <v/>
      </c>
      <c r="H80" s="9">
        <f>((1+H32)^24/((1+H31)^23))-1</f>
        <v/>
      </c>
      <c r="I80" s="9">
        <f>((1+I32)^24/((1+I31)^23))-1</f>
        <v/>
      </c>
      <c r="J80" s="9">
        <f>((1+J32)^24/((1+J31)^23))-1</f>
        <v/>
      </c>
    </row>
    <row r="81">
      <c r="A81" s="3" t="n">
        <v>25</v>
      </c>
      <c r="B81" s="9">
        <f>((1+B33)^25/((1+B32)^24))-1</f>
        <v/>
      </c>
      <c r="C81" s="9">
        <f>((1+C33)^25/((1+C32)^24))-1</f>
        <v/>
      </c>
      <c r="D81" s="9">
        <f>((1+D33)^25/((1+D32)^24))-1</f>
        <v/>
      </c>
      <c r="E81" s="9">
        <f>((1+E33)^25/((1+E32)^24))-1</f>
        <v/>
      </c>
      <c r="F81" s="9">
        <f>((1+F33)^25/((1+F32)^24))-1</f>
        <v/>
      </c>
      <c r="G81" s="9">
        <f>((1+G33)^25/((1+G32)^24))-1</f>
        <v/>
      </c>
      <c r="H81" s="9">
        <f>((1+H33)^25/((1+H32)^24))-1</f>
        <v/>
      </c>
      <c r="I81" s="9">
        <f>((1+I33)^25/((1+I32)^24))-1</f>
        <v/>
      </c>
      <c r="J81" s="9">
        <f>((1+J33)^25/((1+J32)^24))-1</f>
        <v/>
      </c>
    </row>
    <row r="82">
      <c r="A82" s="3" t="n">
        <v>26</v>
      </c>
      <c r="B82" s="9">
        <f>((1+B34)^26/((1+B33)^25))-1</f>
        <v/>
      </c>
      <c r="C82" s="9">
        <f>((1+C34)^26/((1+C33)^25))-1</f>
        <v/>
      </c>
      <c r="D82" s="9">
        <f>((1+D34)^26/((1+D33)^25))-1</f>
        <v/>
      </c>
      <c r="E82" s="9">
        <f>((1+E34)^26/((1+E33)^25))-1</f>
        <v/>
      </c>
      <c r="F82" s="9">
        <f>((1+F34)^26/((1+F33)^25))-1</f>
        <v/>
      </c>
      <c r="G82" s="9">
        <f>((1+G34)^26/((1+G33)^25))-1</f>
        <v/>
      </c>
      <c r="H82" s="9">
        <f>((1+H34)^26/((1+H33)^25))-1</f>
        <v/>
      </c>
      <c r="I82" s="9">
        <f>((1+I34)^26/((1+I33)^25))-1</f>
        <v/>
      </c>
      <c r="J82" s="9">
        <f>((1+J34)^26/((1+J33)^25))-1</f>
        <v/>
      </c>
    </row>
    <row r="83">
      <c r="A83" s="3" t="n">
        <v>27</v>
      </c>
      <c r="B83" s="9">
        <f>((1+B35)^27/((1+B34)^26))-1</f>
        <v/>
      </c>
      <c r="C83" s="9">
        <f>((1+C35)^27/((1+C34)^26))-1</f>
        <v/>
      </c>
      <c r="D83" s="9">
        <f>((1+D35)^27/((1+D34)^26))-1</f>
        <v/>
      </c>
      <c r="E83" s="9">
        <f>((1+E35)^27/((1+E34)^26))-1</f>
        <v/>
      </c>
      <c r="F83" s="9">
        <f>((1+F35)^27/((1+F34)^26))-1</f>
        <v/>
      </c>
      <c r="G83" s="9">
        <f>((1+G35)^27/((1+G34)^26))-1</f>
        <v/>
      </c>
      <c r="H83" s="9">
        <f>((1+H35)^27/((1+H34)^26))-1</f>
        <v/>
      </c>
      <c r="I83" s="9">
        <f>((1+I35)^27/((1+I34)^26))-1</f>
        <v/>
      </c>
      <c r="J83" s="9">
        <f>((1+J35)^27/((1+J34)^26))-1</f>
        <v/>
      </c>
    </row>
    <row r="84">
      <c r="A84" s="3" t="n">
        <v>28</v>
      </c>
      <c r="B84" s="9">
        <f>((1+B36)^28/((1+B35)^27))-1</f>
        <v/>
      </c>
      <c r="C84" s="9">
        <f>((1+C36)^28/((1+C35)^27))-1</f>
        <v/>
      </c>
      <c r="D84" s="9">
        <f>((1+D36)^28/((1+D35)^27))-1</f>
        <v/>
      </c>
      <c r="E84" s="9">
        <f>((1+E36)^28/((1+E35)^27))-1</f>
        <v/>
      </c>
      <c r="F84" s="9">
        <f>((1+F36)^28/((1+F35)^27))-1</f>
        <v/>
      </c>
      <c r="G84" s="9">
        <f>((1+G36)^28/((1+G35)^27))-1</f>
        <v/>
      </c>
      <c r="H84" s="9">
        <f>((1+H36)^28/((1+H35)^27))-1</f>
        <v/>
      </c>
      <c r="I84" s="9">
        <f>((1+I36)^28/((1+I35)^27))-1</f>
        <v/>
      </c>
      <c r="J84" s="9">
        <f>((1+J36)^28/((1+J35)^27))-1</f>
        <v/>
      </c>
    </row>
    <row r="85">
      <c r="A85" s="3" t="n">
        <v>29</v>
      </c>
      <c r="B85" s="9">
        <f>((1+B37)^29/((1+B36)^28))-1</f>
        <v/>
      </c>
      <c r="C85" s="9">
        <f>((1+C37)^29/((1+C36)^28))-1</f>
        <v/>
      </c>
      <c r="D85" s="9">
        <f>((1+D37)^29/((1+D36)^28))-1</f>
        <v/>
      </c>
      <c r="E85" s="9">
        <f>((1+E37)^29/((1+E36)^28))-1</f>
        <v/>
      </c>
      <c r="F85" s="9">
        <f>((1+F37)^29/((1+F36)^28))-1</f>
        <v/>
      </c>
      <c r="G85" s="9">
        <f>((1+G37)^29/((1+G36)^28))-1</f>
        <v/>
      </c>
      <c r="H85" s="9">
        <f>((1+H37)^29/((1+H36)^28))-1</f>
        <v/>
      </c>
      <c r="I85" s="9">
        <f>((1+I37)^29/((1+I36)^28))-1</f>
        <v/>
      </c>
      <c r="J85" s="9">
        <f>((1+J37)^29/((1+J36)^28))-1</f>
        <v/>
      </c>
    </row>
    <row r="86">
      <c r="A86" s="3" t="n">
        <v>30</v>
      </c>
      <c r="B86" s="9">
        <f>((1+B38)^30/((1+B37)^29))-1</f>
        <v/>
      </c>
      <c r="C86" s="9">
        <f>((1+C38)^30/((1+C37)^29))-1</f>
        <v/>
      </c>
      <c r="D86" s="9">
        <f>((1+D38)^30/((1+D37)^29))-1</f>
        <v/>
      </c>
      <c r="E86" s="9">
        <f>((1+E38)^30/((1+E37)^29))-1</f>
        <v/>
      </c>
      <c r="F86" s="9">
        <f>((1+F38)^30/((1+F37)^29))-1</f>
        <v/>
      </c>
      <c r="G86" s="9">
        <f>((1+G38)^30/((1+G37)^29))-1</f>
        <v/>
      </c>
      <c r="H86" s="9">
        <f>((1+H38)^30/((1+H37)^29))-1</f>
        <v/>
      </c>
      <c r="I86" s="9">
        <f>((1+I38)^30/((1+I37)^29))-1</f>
        <v/>
      </c>
      <c r="J86" s="9">
        <f>((1+J38)^30/((1+J37)^29))-1</f>
        <v/>
      </c>
    </row>
    <row r="87">
      <c r="A87" s="3" t="n">
        <v>31</v>
      </c>
      <c r="B87" s="9">
        <f>((1+B39)^31/((1+B38)^30))-1</f>
        <v/>
      </c>
      <c r="C87" s="9">
        <f>((1+C39)^31/((1+C38)^30))-1</f>
        <v/>
      </c>
      <c r="D87" s="9">
        <f>((1+D39)^31/((1+D38)^30))-1</f>
        <v/>
      </c>
      <c r="E87" s="9">
        <f>((1+E39)^31/((1+E38)^30))-1</f>
        <v/>
      </c>
      <c r="F87" s="9">
        <f>((1+F39)^31/((1+F38)^30))-1</f>
        <v/>
      </c>
      <c r="G87" s="9">
        <f>((1+G39)^31/((1+G38)^30))-1</f>
        <v/>
      </c>
      <c r="H87" s="9">
        <f>((1+H39)^31/((1+H38)^30))-1</f>
        <v/>
      </c>
      <c r="I87" s="9">
        <f>((1+I39)^31/((1+I38)^30))-1</f>
        <v/>
      </c>
      <c r="J87" s="9">
        <f>((1+J39)^31/((1+J38)^30))-1</f>
        <v/>
      </c>
    </row>
    <row r="88">
      <c r="A88" s="3" t="n">
        <v>32</v>
      </c>
      <c r="B88" s="9">
        <f>((1+B40)^32/((1+B39)^31))-1</f>
        <v/>
      </c>
      <c r="C88" s="9">
        <f>((1+C40)^32/((1+C39)^31))-1</f>
        <v/>
      </c>
      <c r="D88" s="9">
        <f>((1+D40)^32/((1+D39)^31))-1</f>
        <v/>
      </c>
      <c r="E88" s="9">
        <f>((1+E40)^32/((1+E39)^31))-1</f>
        <v/>
      </c>
      <c r="F88" s="9">
        <f>((1+F40)^32/((1+F39)^31))-1</f>
        <v/>
      </c>
      <c r="G88" s="9">
        <f>((1+G40)^32/((1+G39)^31))-1</f>
        <v/>
      </c>
      <c r="H88" s="9">
        <f>((1+H40)^32/((1+H39)^31))-1</f>
        <v/>
      </c>
      <c r="I88" s="9">
        <f>((1+I40)^32/((1+I39)^31))-1</f>
        <v/>
      </c>
      <c r="J88" s="9">
        <f>((1+J40)^32/((1+J39)^31))-1</f>
        <v/>
      </c>
    </row>
    <row r="89">
      <c r="A89" s="3" t="n">
        <v>33</v>
      </c>
      <c r="B89" s="9">
        <f>((1+B41)^33/((1+B40)^32))-1</f>
        <v/>
      </c>
      <c r="C89" s="9">
        <f>((1+C41)^33/((1+C40)^32))-1</f>
        <v/>
      </c>
      <c r="D89" s="9">
        <f>((1+D41)^33/((1+D40)^32))-1</f>
        <v/>
      </c>
      <c r="E89" s="9">
        <f>((1+E41)^33/((1+E40)^32))-1</f>
        <v/>
      </c>
      <c r="F89" s="9">
        <f>((1+F41)^33/((1+F40)^32))-1</f>
        <v/>
      </c>
      <c r="G89" s="9">
        <f>((1+G41)^33/((1+G40)^32))-1</f>
        <v/>
      </c>
      <c r="H89" s="9">
        <f>((1+H41)^33/((1+H40)^32))-1</f>
        <v/>
      </c>
      <c r="I89" s="9">
        <f>((1+I41)^33/((1+I40)^32))-1</f>
        <v/>
      </c>
      <c r="J89" s="9">
        <f>((1+J41)^33/((1+J40)^32))-1</f>
        <v/>
      </c>
    </row>
    <row r="90">
      <c r="A90" s="3" t="n">
        <v>34</v>
      </c>
      <c r="B90" s="9">
        <f>((1+B42)^34/((1+B41)^33))-1</f>
        <v/>
      </c>
      <c r="C90" s="9">
        <f>((1+C42)^34/((1+C41)^33))-1</f>
        <v/>
      </c>
      <c r="D90" s="9">
        <f>((1+D42)^34/((1+D41)^33))-1</f>
        <v/>
      </c>
      <c r="E90" s="9">
        <f>((1+E42)^34/((1+E41)^33))-1</f>
        <v/>
      </c>
      <c r="F90" s="9">
        <f>((1+F42)^34/((1+F41)^33))-1</f>
        <v/>
      </c>
      <c r="G90" s="9">
        <f>((1+G42)^34/((1+G41)^33))-1</f>
        <v/>
      </c>
      <c r="H90" s="9">
        <f>((1+H42)^34/((1+H41)^33))-1</f>
        <v/>
      </c>
      <c r="I90" s="9">
        <f>((1+I42)^34/((1+I41)^33))-1</f>
        <v/>
      </c>
      <c r="J90" s="9">
        <f>((1+J42)^34/((1+J41)^33))-1</f>
        <v/>
      </c>
    </row>
    <row r="91">
      <c r="A91" s="3" t="n">
        <v>35</v>
      </c>
      <c r="B91" s="9">
        <f>((1+B43)^35/((1+B42)^34))-1</f>
        <v/>
      </c>
      <c r="C91" s="9">
        <f>((1+C43)^35/((1+C42)^34))-1</f>
        <v/>
      </c>
      <c r="D91" s="9">
        <f>((1+D43)^35/((1+D42)^34))-1</f>
        <v/>
      </c>
      <c r="E91" s="9">
        <f>((1+E43)^35/((1+E42)^34))-1</f>
        <v/>
      </c>
      <c r="F91" s="9">
        <f>((1+F43)^35/((1+F42)^34))-1</f>
        <v/>
      </c>
      <c r="G91" s="9">
        <f>((1+G43)^35/((1+G42)^34))-1</f>
        <v/>
      </c>
      <c r="H91" s="9">
        <f>((1+H43)^35/((1+H42)^34))-1</f>
        <v/>
      </c>
      <c r="I91" s="9">
        <f>((1+I43)^35/((1+I42)^34))-1</f>
        <v/>
      </c>
      <c r="J91" s="9">
        <f>((1+J43)^35/((1+J42)^34))-1</f>
        <v/>
      </c>
    </row>
    <row r="92">
      <c r="A92" s="3" t="n">
        <v>36</v>
      </c>
      <c r="B92" s="9">
        <f>((1+B44)^36/((1+B43)^35))-1</f>
        <v/>
      </c>
      <c r="C92" s="9">
        <f>((1+C44)^36/((1+C43)^35))-1</f>
        <v/>
      </c>
      <c r="D92" s="9">
        <f>((1+D44)^36/((1+D43)^35))-1</f>
        <v/>
      </c>
      <c r="E92" s="9">
        <f>((1+E44)^36/((1+E43)^35))-1</f>
        <v/>
      </c>
      <c r="F92" s="9">
        <f>((1+F44)^36/((1+F43)^35))-1</f>
        <v/>
      </c>
      <c r="G92" s="9">
        <f>((1+G44)^36/((1+G43)^35))-1</f>
        <v/>
      </c>
      <c r="H92" s="9">
        <f>((1+H44)^36/((1+H43)^35))-1</f>
        <v/>
      </c>
      <c r="I92" s="9">
        <f>((1+I44)^36/((1+I43)^35))-1</f>
        <v/>
      </c>
      <c r="J92" s="9">
        <f>((1+J44)^36/((1+J43)^35))-1</f>
        <v/>
      </c>
    </row>
    <row r="93">
      <c r="A93" s="3" t="n">
        <v>37</v>
      </c>
      <c r="B93" s="9">
        <f>((1+B45)^37/((1+B44)^36))-1</f>
        <v/>
      </c>
      <c r="C93" s="9">
        <f>((1+C45)^37/((1+C44)^36))-1</f>
        <v/>
      </c>
      <c r="D93" s="9">
        <f>((1+D45)^37/((1+D44)^36))-1</f>
        <v/>
      </c>
      <c r="E93" s="9">
        <f>((1+E45)^37/((1+E44)^36))-1</f>
        <v/>
      </c>
      <c r="F93" s="9">
        <f>((1+F45)^37/((1+F44)^36))-1</f>
        <v/>
      </c>
      <c r="G93" s="9">
        <f>((1+G45)^37/((1+G44)^36))-1</f>
        <v/>
      </c>
      <c r="H93" s="9">
        <f>((1+H45)^37/((1+H44)^36))-1</f>
        <v/>
      </c>
      <c r="I93" s="9">
        <f>((1+I45)^37/((1+I44)^36))-1</f>
        <v/>
      </c>
      <c r="J93" s="9">
        <f>((1+J45)^37/((1+J44)^36))-1</f>
        <v/>
      </c>
    </row>
    <row r="94">
      <c r="A94" s="3" t="n">
        <v>38</v>
      </c>
      <c r="B94" s="9">
        <f>((1+B46)^38/((1+B45)^37))-1</f>
        <v/>
      </c>
      <c r="C94" s="9">
        <f>((1+C46)^38/((1+C45)^37))-1</f>
        <v/>
      </c>
      <c r="D94" s="9">
        <f>((1+D46)^38/((1+D45)^37))-1</f>
        <v/>
      </c>
      <c r="E94" s="9">
        <f>((1+E46)^38/((1+E45)^37))-1</f>
        <v/>
      </c>
      <c r="F94" s="9">
        <f>((1+F46)^38/((1+F45)^37))-1</f>
        <v/>
      </c>
      <c r="G94" s="9">
        <f>((1+G46)^38/((1+G45)^37))-1</f>
        <v/>
      </c>
      <c r="H94" s="9">
        <f>((1+H46)^38/((1+H45)^37))-1</f>
        <v/>
      </c>
      <c r="I94" s="9">
        <f>((1+I46)^38/((1+I45)^37))-1</f>
        <v/>
      </c>
      <c r="J94" s="9">
        <f>((1+J46)^38/((1+J45)^37))-1</f>
        <v/>
      </c>
    </row>
    <row r="95">
      <c r="A95" s="3" t="n">
        <v>39</v>
      </c>
      <c r="B95" s="9">
        <f>((1+B47)^39/((1+B46)^38))-1</f>
        <v/>
      </c>
      <c r="C95" s="9">
        <f>((1+C47)^39/((1+C46)^38))-1</f>
        <v/>
      </c>
      <c r="D95" s="9">
        <f>((1+D47)^39/((1+D46)^38))-1</f>
        <v/>
      </c>
      <c r="E95" s="9">
        <f>((1+E47)^39/((1+E46)^38))-1</f>
        <v/>
      </c>
      <c r="F95" s="9">
        <f>((1+F47)^39/((1+F46)^38))-1</f>
        <v/>
      </c>
      <c r="G95" s="9">
        <f>((1+G47)^39/((1+G46)^38))-1</f>
        <v/>
      </c>
      <c r="H95" s="9">
        <f>((1+H47)^39/((1+H46)^38))-1</f>
        <v/>
      </c>
      <c r="I95" s="9">
        <f>((1+I47)^39/((1+I46)^38))-1</f>
        <v/>
      </c>
      <c r="J95" s="9">
        <f>((1+J47)^39/((1+J46)^38))-1</f>
        <v/>
      </c>
    </row>
    <row r="96">
      <c r="A96" s="3" t="n">
        <v>40</v>
      </c>
      <c r="B96" s="9">
        <f>((1+B48)^40/((1+B47)^39))-1</f>
        <v/>
      </c>
      <c r="C96" s="9">
        <f>((1+C48)^40/((1+C47)^39))-1</f>
        <v/>
      </c>
      <c r="D96" s="9">
        <f>((1+D48)^40/((1+D47)^39))-1</f>
        <v/>
      </c>
      <c r="E96" s="9">
        <f>((1+E48)^40/((1+E47)^39))-1</f>
        <v/>
      </c>
      <c r="F96" s="9">
        <f>((1+F48)^40/((1+F47)^39))-1</f>
        <v/>
      </c>
      <c r="G96" s="9">
        <f>((1+G48)^40/((1+G47)^39))-1</f>
        <v/>
      </c>
      <c r="H96" s="9">
        <f>((1+H48)^40/((1+H47)^39))-1</f>
        <v/>
      </c>
      <c r="I96" s="9">
        <f>((1+I48)^40/((1+I47)^39))-1</f>
        <v/>
      </c>
      <c r="J96" s="9">
        <f>((1+J48)^40/((1+J47)^39))-1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2026-08-03T05:12:37Z</dcterms:created>
  <dcterms:modified xsi:type="dcterms:W3CDTF">2026-08-03T05:12:37Z</dcterms:modified>
</cp:coreProperties>
</file>